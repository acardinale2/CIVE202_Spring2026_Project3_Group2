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https://uofnebraska-my.sharepoint.com/personal/21413224_nebraska_edu/Documents/"/>
    </mc:Choice>
  </mc:AlternateContent>
  <xr:revisionPtr revIDLastSave="228" documentId="8_{C96D0E80-9B8D-4491-A990-6D0CB79E5F97}" xr6:coauthVersionLast="47" xr6:coauthVersionMax="47" xr10:uidLastSave="{99F5EB73-6D92-4A29-A72C-9CC6231A175B}"/>
  <bookViews>
    <workbookView xWindow="2200" yWindow="2200" windowWidth="19200" windowHeight="11160" xr2:uid="{00000000-000D-0000-FFFF-FFFF00000000}"/>
  </bookViews>
  <sheets>
    <sheet name="GanttChart" sheetId="9" r:id="rId1"/>
  </sheets>
  <definedNames>
    <definedName name="prevWBS" localSheetId="0">GanttChart!$A1048576</definedName>
    <definedName name="_xlnm.Print_Area" localSheetId="0">GanttChart!$A$1:$BN$31</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9" l="1"/>
  <c r="I12" i="9" s="1"/>
  <c r="F13" i="9"/>
  <c r="I13" i="9" s="1"/>
  <c r="F14" i="9"/>
  <c r="I14" i="9" s="1"/>
  <c r="F28" i="9"/>
  <c r="F26" i="9"/>
  <c r="F27" i="9"/>
  <c r="F21" i="9"/>
  <c r="F18" i="9"/>
  <c r="F25" i="9"/>
  <c r="I25" i="9" s="1"/>
  <c r="F24" i="9"/>
  <c r="I15" i="9"/>
  <c r="F11" i="9"/>
  <c r="I11" i="9" s="1"/>
  <c r="F9" i="9"/>
  <c r="I9" i="9" s="1"/>
  <c r="F8" i="9"/>
  <c r="I8" i="9" s="1"/>
  <c r="F23" i="9"/>
  <c r="I23" i="9" s="1"/>
  <c r="F16" i="9"/>
  <c r="I16" i="9" s="1"/>
  <c r="K6" i="9"/>
  <c r="K4" i="9" s="1"/>
  <c r="F10" i="9"/>
  <c r="I10" i="9" s="1"/>
  <c r="A8" i="9"/>
  <c r="A9" i="9" s="1"/>
  <c r="A10" i="9" s="1"/>
  <c r="A11" i="9" s="1"/>
  <c r="F29" i="9"/>
  <c r="F19" i="9"/>
  <c r="F20" i="9"/>
  <c r="F22" i="9"/>
  <c r="A12" i="9" l="1"/>
  <c r="A13" i="9" s="1"/>
  <c r="A14" i="9" s="1"/>
  <c r="A15" i="9" s="1"/>
  <c r="A16" i="9" s="1"/>
  <c r="A17" i="9" s="1"/>
  <c r="A18" i="9" s="1"/>
  <c r="A19" i="9" s="1"/>
  <c r="A20" i="9" s="1"/>
  <c r="L6" i="9"/>
  <c r="M6" i="9" s="1"/>
  <c r="M7" i="9" s="1"/>
  <c r="K7" i="9"/>
  <c r="K5" i="9"/>
  <c r="N6" i="9" l="1"/>
  <c r="N7" i="9" s="1"/>
  <c r="L7" i="9"/>
  <c r="A21" i="9"/>
  <c r="A22" i="9" s="1"/>
  <c r="A23" i="9" s="1"/>
  <c r="A24" i="9" s="1"/>
  <c r="A25" i="9" s="1"/>
  <c r="O6" i="9" l="1"/>
  <c r="O7" i="9" s="1"/>
  <c r="A26" i="9"/>
  <c r="A27" i="9" s="1" a="1"/>
  <c r="A27" i="9" s="1"/>
  <c r="A28" i="9" s="1" a="1"/>
  <c r="A28" i="9" s="1"/>
  <c r="A29" i="9" s="1"/>
  <c r="A30" i="9" s="1"/>
  <c r="A31" i="9" s="1"/>
  <c r="P6" i="9" l="1"/>
  <c r="Q6" i="9"/>
  <c r="P7" i="9"/>
  <c r="R6" i="9" l="1"/>
  <c r="Q7" i="9"/>
  <c r="S6" i="9" l="1"/>
  <c r="R5" i="9"/>
  <c r="R4" i="9"/>
  <c r="R7" i="9"/>
  <c r="T6" i="9" l="1"/>
  <c r="S7" i="9"/>
  <c r="U6" i="9" l="1"/>
  <c r="T7" i="9"/>
  <c r="V6" i="9" l="1"/>
  <c r="U7" i="9"/>
  <c r="V7" i="9" l="1"/>
  <c r="W6" i="9"/>
  <c r="W7" i="9" l="1"/>
  <c r="X6" i="9"/>
  <c r="X7" i="9" l="1"/>
  <c r="Y6" i="9"/>
  <c r="Z6" i="9" l="1"/>
  <c r="Y5" i="9"/>
  <c r="Y4" i="9"/>
  <c r="Y7" i="9"/>
  <c r="Z7" i="9" l="1"/>
  <c r="AA6" i="9"/>
  <c r="AB6" i="9" l="1"/>
  <c r="AA7" i="9"/>
  <c r="AB7" i="9" l="1"/>
  <c r="AC6" i="9"/>
  <c r="AC7" i="9" l="1"/>
  <c r="AD6" i="9"/>
  <c r="AD7" i="9" l="1"/>
  <c r="AE6" i="9"/>
  <c r="AF6" i="9" l="1"/>
  <c r="AE7" i="9"/>
  <c r="AF7" i="9" l="1"/>
  <c r="AG6" i="9"/>
  <c r="AF5" i="9"/>
  <c r="AF4" i="9"/>
  <c r="AG7" i="9" l="1"/>
  <c r="AH6" i="9"/>
  <c r="AI6" i="9" l="1"/>
  <c r="AH7" i="9"/>
  <c r="AJ6" i="9" l="1"/>
  <c r="AI7" i="9"/>
  <c r="AK6" i="9" l="1"/>
  <c r="AJ7" i="9"/>
  <c r="AK7" i="9" l="1"/>
  <c r="AL6" i="9"/>
  <c r="AL7" i="9" l="1"/>
  <c r="AM6" i="9"/>
  <c r="AM4" i="9" l="1"/>
  <c r="AN6" i="9"/>
  <c r="AM7" i="9"/>
  <c r="AM5" i="9"/>
  <c r="AN7" i="9" l="1"/>
  <c r="AO6" i="9"/>
  <c r="AO7" i="9" l="1"/>
  <c r="AP6" i="9"/>
  <c r="AP7" i="9" l="1"/>
  <c r="AQ6" i="9"/>
  <c r="AR6" i="9" l="1"/>
  <c r="AQ7" i="9"/>
  <c r="AS6" i="9" l="1"/>
  <c r="AR7" i="9"/>
  <c r="AT6" i="9" l="1"/>
  <c r="AS7" i="9"/>
  <c r="AT7" i="9" l="1"/>
  <c r="AT5" i="9"/>
  <c r="AU6" i="9"/>
  <c r="AT4" i="9"/>
  <c r="AU7" i="9" l="1"/>
  <c r="AV6" i="9"/>
  <c r="AW6" i="9" l="1"/>
  <c r="AV7" i="9"/>
  <c r="AW7" i="9" l="1"/>
  <c r="AX6" i="9"/>
  <c r="AX7" i="9" l="1"/>
  <c r="AY6" i="9"/>
  <c r="AZ6" i="9" l="1"/>
  <c r="AY7" i="9"/>
  <c r="BA6" i="9" l="1"/>
  <c r="AZ7" i="9"/>
  <c r="BB6" i="9" l="1"/>
  <c r="BA5" i="9"/>
  <c r="BA7" i="9"/>
  <c r="BA4" i="9"/>
  <c r="BB7" i="9" l="1"/>
  <c r="BC6" i="9"/>
  <c r="BC7" i="9" l="1"/>
  <c r="BD6" i="9"/>
  <c r="BD7" i="9" l="1"/>
  <c r="BE6" i="9"/>
  <c r="BE7" i="9" l="1"/>
  <c r="BF6" i="9"/>
  <c r="BF7" i="9" l="1"/>
  <c r="BG6" i="9"/>
  <c r="BG7" i="9" l="1"/>
  <c r="BH6" i="9"/>
  <c r="BI6" i="9" l="1"/>
  <c r="BH4" i="9"/>
  <c r="BH7" i="9"/>
  <c r="BH5" i="9"/>
  <c r="BJ6" i="9" l="1"/>
  <c r="BI7" i="9"/>
  <c r="BK6" i="9" l="1"/>
  <c r="BJ7" i="9"/>
  <c r="BK7" i="9" l="1"/>
  <c r="BL6" i="9"/>
  <c r="BM6" i="9" l="1"/>
  <c r="BL7" i="9"/>
  <c r="BM7" i="9" l="1"/>
  <c r="BN6" i="9"/>
  <c r="BN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<sst xmlns="http://schemas.openxmlformats.org/spreadsheetml/2006/main" count="59" uniqueCount="39">
  <si>
    <t xml:space="preserve">Project Start Date </t>
  </si>
  <si>
    <t xml:space="preserve">Display Week </t>
  </si>
  <si>
    <t>WBS</t>
  </si>
  <si>
    <t>TASK</t>
  </si>
  <si>
    <t>LEAD</t>
  </si>
  <si>
    <t>PREDECESSOR</t>
  </si>
  <si>
    <t>START</t>
  </si>
  <si>
    <t>END</t>
  </si>
  <si>
    <t>DAYS</t>
  </si>
  <si>
    <t>% DONE</t>
  </si>
  <si>
    <t>WORK DAYS</t>
  </si>
  <si>
    <t>Review Client Prompt</t>
  </si>
  <si>
    <t>Aaron</t>
  </si>
  <si>
    <t>Create Github Repository and export</t>
  </si>
  <si>
    <t>Research Topic</t>
  </si>
  <si>
    <t>Draft Gnatt Chart</t>
  </si>
  <si>
    <t>Clean data</t>
  </si>
  <si>
    <t>Draft Report</t>
  </si>
  <si>
    <t>Finalize Time sheet</t>
  </si>
  <si>
    <t>Finalize Report</t>
  </si>
  <si>
    <t>Submit deliverables</t>
  </si>
  <si>
    <t>Project 5</t>
  </si>
  <si>
    <t>Aggregate and Visualize</t>
  </si>
  <si>
    <t>Report and Finalize</t>
  </si>
  <si>
    <t>Finalize Executive Summary</t>
  </si>
  <si>
    <t>Finalize SOW</t>
  </si>
  <si>
    <t>Finalize Review of Ethics</t>
  </si>
  <si>
    <t xml:space="preserve">Project End Date </t>
  </si>
  <si>
    <t>install packages</t>
  </si>
  <si>
    <t>annotate code and discussion</t>
  </si>
  <si>
    <t>Create Summary Table and Time Series Plot</t>
  </si>
  <si>
    <t>Finalize deliverables and GitHub</t>
  </si>
  <si>
    <t>Define Function within code and create code</t>
  </si>
  <si>
    <t>Research, Draft,  and Gather data</t>
  </si>
  <si>
    <t>Draft SOW</t>
  </si>
  <si>
    <t>Draft Time Sheets</t>
  </si>
  <si>
    <t>Draft Executive Summary</t>
  </si>
  <si>
    <t>Draft code of Ethics</t>
  </si>
  <si>
    <t>Aaron Cardinale, Jamie Krab, Gabriela Gonzalez 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</si>
</sst>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5"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3">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0" fillId="21" borderId="10" xfId="0" applyFont="1" applyFill="1" applyBorder="1" applyAlignment="1">
      <alignment vertical="center"/>
    </xf>
    <xf numFmtId="0" fontId="30" fillId="0" borderId="10" xfId="0" applyFont="1" applyBorder="1" applyAlignment="1">
      <alignment horizontal="left" vertical="center"/>
    </xf>
    <xf numFmtId="0" fontId="30" fillId="0" borderId="10" xfId="0" applyFont="1" applyBorder="1" applyAlignment="1">
      <alignment vertical="center"/>
    </xf>
    <xf numFmtId="0" fontId="30" fillId="0" borderId="0" xfId="0" applyFont="1" applyAlignment="1">
      <alignment vertical="center"/>
    </xf>
    <xf numFmtId="0" fontId="36" fillId="0" borderId="0" xfId="0" applyFont="1" applyAlignment="1">
      <alignment vertical="center"/>
    </xf>
    <xf numFmtId="166" fontId="3" fillId="0" borderId="12" xfId="0" applyNumberFormat="1" applyFont="1" applyBorder="1" applyAlignment="1">
      <alignment horizontal="center" vertical="center" shrinkToFit="1"/>
    </xf>
    <xf numFmtId="166" fontId="3" fillId="0" borderId="14" xfId="0" applyNumberFormat="1" applyFont="1" applyBorder="1" applyAlignment="1">
      <alignment horizontal="center" vertical="center" shrinkToFit="1"/>
    </xf>
    <xf numFmtId="166" fontId="3" fillId="0" borderId="15" xfId="0" applyNumberFormat="1" applyFont="1" applyBorder="1" applyAlignment="1">
      <alignment horizontal="center" vertical="center" shrinkToFit="1"/>
    </xf>
    <xf numFmtId="1" fontId="39" fillId="0" borderId="11" xfId="0" applyNumberFormat="1" applyFont="1" applyBorder="1" applyAlignment="1">
      <alignment horizontal="center" vertical="center"/>
    </xf>
    <xf numFmtId="0" fontId="38" fillId="21" borderId="0" xfId="0" applyFont="1" applyFill="1" applyAlignment="1">
      <alignment vertical="center"/>
    </xf>
    <xf numFmtId="0" fontId="30" fillId="21" borderId="10" xfId="0" applyFont="1" applyFill="1" applyBorder="1" applyAlignment="1">
      <alignment horizontal="left" vertical="center"/>
    </xf>
    <xf numFmtId="0" fontId="40" fillId="0" borderId="0" xfId="0" applyFont="1"/>
    <xf numFmtId="0" fontId="40" fillId="0" borderId="0" xfId="0" applyFont="1" applyAlignment="1">
      <alignment horizontal="right" vertical="center"/>
    </xf>
    <xf numFmtId="0" fontId="41" fillId="0" borderId="16" xfId="0" applyFont="1" applyBorder="1" applyAlignment="1">
      <alignment horizontal="left" vertical="center"/>
    </xf>
    <xf numFmtId="0" fontId="41" fillId="0" borderId="16" xfId="0" applyFont="1" applyBorder="1" applyAlignment="1">
      <alignment horizontal="center" vertical="center" wrapText="1"/>
    </xf>
    <xf numFmtId="0" fontId="42" fillId="0" borderId="16" xfId="0" applyFont="1" applyBorder="1" applyAlignment="1">
      <alignment horizontal="center" vertical="center" wrapText="1"/>
    </xf>
    <xf numFmtId="0" fontId="41" fillId="0" borderId="16" xfId="0" applyFont="1" applyBorder="1" applyAlignment="1">
      <alignment horizontal="center" vertical="center"/>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43" fillId="0" borderId="0" xfId="0" applyFont="1" applyAlignment="1" applyProtection="1">
      <alignment vertical="center"/>
      <protection locked="0"/>
    </xf>
    <xf numFmtId="0" fontId="30" fillId="0" borderId="10" xfId="0" applyFont="1" applyBorder="1" applyAlignment="1">
      <alignment vertical="center" wrapText="1"/>
    </xf>
    <xf numFmtId="0" fontId="33" fillId="0" borderId="20"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4" fillId="21" borderId="13" xfId="0" applyFont="1" applyFill="1" applyBorder="1" applyAlignment="1">
      <alignment horizontal="left" vertical="center" wrapText="1"/>
    </xf>
    <xf numFmtId="0" fontId="34" fillId="21" borderId="13" xfId="0" applyFont="1" applyFill="1" applyBorder="1" applyAlignment="1">
      <alignment vertical="center" wrapText="1"/>
    </xf>
    <xf numFmtId="0" fontId="30" fillId="21" borderId="13" xfId="0" applyFont="1" applyFill="1" applyBorder="1" applyAlignment="1">
      <alignment vertical="center" wrapText="1"/>
    </xf>
    <xf numFmtId="0" fontId="30" fillId="21" borderId="13" xfId="0" applyFont="1" applyFill="1" applyBorder="1" applyAlignment="1">
      <alignment horizontal="center" vertical="center" wrapText="1"/>
    </xf>
    <xf numFmtId="165" fontId="30" fillId="21" borderId="13" xfId="0" applyNumberFormat="1" applyFont="1" applyFill="1" applyBorder="1" applyAlignment="1">
      <alignment horizontal="right" vertical="center" wrapText="1"/>
    </xf>
    <xf numFmtId="165" fontId="30" fillId="21" borderId="13" xfId="0" applyNumberFormat="1" applyFont="1" applyFill="1" applyBorder="1" applyAlignment="1">
      <alignment horizontal="center" vertical="center" wrapText="1"/>
    </xf>
    <xf numFmtId="1" fontId="30" fillId="21" borderId="13" xfId="40" applyNumberFormat="1" applyFont="1" applyFill="1" applyBorder="1" applyAlignment="1" applyProtection="1">
      <alignment horizontal="center" vertical="center" wrapText="1"/>
    </xf>
    <xf numFmtId="9" fontId="30" fillId="21" borderId="13" xfId="40" applyFont="1" applyFill="1" applyBorder="1" applyAlignment="1" applyProtection="1">
      <alignment horizontal="center" vertical="center" wrapText="1"/>
    </xf>
    <xf numFmtId="1" fontId="30" fillId="21" borderId="13" xfId="0" applyNumberFormat="1" applyFont="1" applyFill="1" applyBorder="1" applyAlignment="1">
      <alignment horizontal="center" vertical="center" wrapText="1"/>
    </xf>
    <xf numFmtId="1" fontId="38" fillId="21" borderId="13" xfId="0" applyNumberFormat="1" applyFont="1" applyFill="1" applyBorder="1" applyAlignment="1">
      <alignment horizontal="center" vertical="center" wrapText="1"/>
    </xf>
    <xf numFmtId="0" fontId="30" fillId="21" borderId="13" xfId="0" applyFont="1" applyFill="1" applyBorder="1" applyAlignment="1">
      <alignment horizontal="left" vertical="center" wrapText="1"/>
    </xf>
    <xf numFmtId="0" fontId="30" fillId="21" borderId="10" xfId="0" applyFont="1" applyFill="1" applyBorder="1" applyAlignment="1">
      <alignment vertical="center" wrapText="1"/>
    </xf>
    <xf numFmtId="0" fontId="30" fillId="0" borderId="10" xfId="0" applyFont="1" applyBorder="1" applyAlignment="1">
      <alignment horizontal="left" vertical="center" wrapText="1"/>
    </xf>
    <xf numFmtId="0" fontId="35" fillId="0" borderId="11" xfId="0" applyFont="1" applyBorder="1" applyAlignment="1">
      <alignment horizontal="center" vertical="center" wrapText="1"/>
    </xf>
    <xf numFmtId="165" fontId="35" fillId="22" borderId="11" xfId="0" applyNumberFormat="1" applyFont="1" applyFill="1" applyBorder="1" applyAlignment="1">
      <alignment horizontal="center" vertical="center" wrapText="1"/>
    </xf>
    <xf numFmtId="165" fontId="35" fillId="0" borderId="11" xfId="0" applyNumberFormat="1" applyFont="1" applyBorder="1" applyAlignment="1">
      <alignment horizontal="center" vertical="center" wrapText="1"/>
    </xf>
    <xf numFmtId="1" fontId="35" fillId="23" borderId="11" xfId="0" applyNumberFormat="1" applyFont="1" applyFill="1" applyBorder="1" applyAlignment="1">
      <alignment horizontal="center" vertical="center" wrapText="1"/>
    </xf>
    <xf numFmtId="9" fontId="35" fillId="23" borderId="11" xfId="40" applyFont="1" applyFill="1" applyBorder="1" applyAlignment="1" applyProtection="1">
      <alignment horizontal="center" vertical="center" wrapText="1"/>
    </xf>
    <xf numFmtId="1" fontId="35" fillId="0" borderId="11" xfId="0" applyNumberFormat="1" applyFont="1" applyBorder="1" applyAlignment="1">
      <alignment horizontal="center" vertical="center" wrapText="1"/>
    </xf>
    <xf numFmtId="1" fontId="39" fillId="0" borderId="11" xfId="0" applyNumberFormat="1" applyFont="1" applyBorder="1" applyAlignment="1">
      <alignment horizontal="center" vertical="center" wrapText="1"/>
    </xf>
    <xf numFmtId="9" fontId="30" fillId="0" borderId="10" xfId="0" applyNumberFormat="1" applyFont="1" applyBorder="1" applyAlignment="1">
      <alignment horizontal="left" vertical="center" wrapText="1"/>
    </xf>
    <xf numFmtId="0" fontId="34" fillId="21" borderId="10" xfId="0" applyFont="1" applyFill="1" applyBorder="1" applyAlignment="1">
      <alignment horizontal="left" vertical="center" wrapText="1"/>
    </xf>
    <xf numFmtId="0" fontId="34" fillId="21" borderId="10" xfId="0" applyFont="1" applyFill="1" applyBorder="1" applyAlignment="1">
      <alignment vertical="center" wrapText="1"/>
    </xf>
    <xf numFmtId="0" fontId="30" fillId="21" borderId="10" xfId="0" applyFont="1" applyFill="1" applyBorder="1" applyAlignment="1">
      <alignment horizontal="center" vertical="center" wrapText="1"/>
    </xf>
    <xf numFmtId="165" fontId="30" fillId="21" borderId="10" xfId="0" applyNumberFormat="1" applyFont="1" applyFill="1" applyBorder="1" applyAlignment="1">
      <alignment horizontal="center" vertical="center" wrapText="1"/>
    </xf>
    <xf numFmtId="1" fontId="30" fillId="21" borderId="10" xfId="40" applyNumberFormat="1" applyFont="1" applyFill="1" applyBorder="1" applyAlignment="1" applyProtection="1">
      <alignment horizontal="center" vertical="center" wrapText="1"/>
    </xf>
    <xf numFmtId="9" fontId="30" fillId="21" borderId="10" xfId="40" applyFont="1" applyFill="1" applyBorder="1" applyAlignment="1" applyProtection="1">
      <alignment horizontal="center" vertical="center" wrapText="1"/>
    </xf>
    <xf numFmtId="1" fontId="30" fillId="21" borderId="10" xfId="0" applyNumberFormat="1" applyFont="1" applyFill="1" applyBorder="1" applyAlignment="1">
      <alignment horizontal="center" vertical="center" wrapText="1"/>
    </xf>
    <xf numFmtId="1" fontId="38" fillId="21" borderId="10" xfId="0" applyNumberFormat="1" applyFont="1" applyFill="1" applyBorder="1" applyAlignment="1">
      <alignment horizontal="center" vertical="center" wrapText="1"/>
    </xf>
    <xf numFmtId="0" fontId="30" fillId="21" borderId="10" xfId="0" applyFont="1" applyFill="1" applyBorder="1" applyAlignment="1">
      <alignment horizontal="left" vertical="center" wrapText="1"/>
    </xf>
    <xf numFmtId="0" fontId="37" fillId="0" borderId="14" xfId="0" applyFont="1" applyBorder="1" applyAlignment="1">
      <alignment horizontal="center" vertical="center"/>
    </xf>
    <xf numFmtId="0" fontId="37" fillId="0" borderId="12" xfId="0" applyFont="1" applyBorder="1" applyAlignment="1">
      <alignment horizontal="center" vertical="center"/>
    </xf>
    <xf numFmtId="0" fontId="37" fillId="0" borderId="15" xfId="0" applyFont="1" applyBorder="1" applyAlignment="1">
      <alignment horizontal="center" vertical="center"/>
    </xf>
    <xf numFmtId="167" fontId="33" fillId="0" borderId="14"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5" xfId="0" applyNumberFormat="1" applyFont="1" applyBorder="1" applyAlignment="1">
      <alignment horizontal="center" vertical="center"/>
    </xf>
    <xf numFmtId="0" fontId="44" fillId="0" borderId="0" xfId="34" applyFont="1" applyBorder="1" applyAlignment="1" applyProtection="1">
      <alignment horizontal="left" vertical="center"/>
    </xf>
    <xf numFmtId="164" fontId="33" fillId="0" borderId="20" xfId="0" applyNumberFormat="1" applyFont="1" applyBorder="1" applyAlignment="1" applyProtection="1">
      <alignment horizontal="center" vertical="center" shrinkToFit="1"/>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7">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9</xdr:row>
      <xdr:rowOff>143689</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CI38"/>
  <sheetViews>
    <sheetView showGridLines="0" tabSelected="1" zoomScale="104" zoomScaleNormal="100" workbookViewId="0">
      <pane ySplit="7" topLeftCell="A8" activePane="bottomLeft" state="frozen"/>
      <selection pane="bottomLeft" activeCell="A2" sqref="A2"/>
    </sheetView>
  </sheetViews>
  <sheetFormatPr defaultColWidth="9.1796875" defaultRowHeight="12.5" x14ac:dyDescent="0.25"/>
  <cols>
    <col min="1" max="1" width="6.81640625" customWidth="1"/>
    <col min="2" max="2" width="19" customWidth="1"/>
    <col min="3" max="3" width="7.54296875" customWidth="1"/>
    <col min="4" max="4" width="6.81640625" hidden="1" customWidth="1"/>
    <col min="5" max="6" width="12" customWidth="1"/>
    <col min="7" max="7" width="6" customWidth="1"/>
    <col min="8" max="8" width="6.54296875" customWidth="1"/>
    <col min="9" max="9" width="6.453125" customWidth="1"/>
    <col min="10" max="10" width="1.81640625" customWidth="1"/>
    <col min="11" max="66" width="2.453125" customWidth="1"/>
  </cols>
  <sheetData>
    <row r="1" spans="1:66" ht="30" customHeight="1" x14ac:dyDescent="0.25">
      <c r="A1" s="30" t="s">
        <v>21</v>
      </c>
      <c r="B1" s="6"/>
      <c r="C1" s="6"/>
      <c r="D1" s="6"/>
      <c r="E1" s="6"/>
      <c r="F1" s="6"/>
      <c r="I1" s="33"/>
      <c r="K1" s="71"/>
      <c r="L1" s="71"/>
      <c r="M1" s="71"/>
      <c r="N1" s="71"/>
      <c r="O1" s="71"/>
      <c r="P1" s="71"/>
      <c r="Q1" s="71"/>
      <c r="R1" s="71"/>
      <c r="S1" s="71"/>
      <c r="T1" s="71"/>
      <c r="U1" s="71"/>
      <c r="V1" s="71"/>
      <c r="W1" s="71"/>
      <c r="X1" s="71"/>
      <c r="Y1" s="71"/>
      <c r="Z1" s="71"/>
      <c r="AA1" s="71"/>
      <c r="AB1" s="71"/>
      <c r="AC1" s="71"/>
      <c r="AD1" s="71"/>
      <c r="AE1" s="71"/>
    </row>
    <row r="2" spans="1:66" ht="18" customHeight="1" x14ac:dyDescent="0.25">
      <c r="A2" s="9" t="s">
        <v>38</v>
      </c>
      <c r="B2" s="2"/>
      <c r="C2" s="2"/>
      <c r="D2" s="5"/>
      <c r="E2" s="34"/>
      <c r="F2" s="34"/>
      <c r="H2" s="1"/>
    </row>
    <row r="3" spans="1:66" ht="14" x14ac:dyDescent="0.25">
      <c r="A3" s="9"/>
      <c r="B3" s="7"/>
      <c r="H3" s="1"/>
      <c r="K3" s="3"/>
      <c r="L3" s="3"/>
      <c r="M3" s="3"/>
      <c r="N3" s="3"/>
      <c r="O3" s="3"/>
      <c r="P3" s="3"/>
      <c r="Q3" s="3"/>
      <c r="R3" s="3"/>
      <c r="S3" s="3"/>
      <c r="T3" s="3"/>
      <c r="U3" s="3"/>
      <c r="V3" s="3"/>
      <c r="W3" s="3"/>
      <c r="X3" s="3"/>
      <c r="Y3" s="3"/>
      <c r="Z3" s="3"/>
      <c r="AA3" s="3"/>
    </row>
    <row r="4" spans="1:66" ht="17.25" customHeight="1" x14ac:dyDescent="0.25">
      <c r="A4" s="21"/>
      <c r="B4" s="22" t="s">
        <v>0</v>
      </c>
      <c r="C4" s="72">
        <v>46096</v>
      </c>
      <c r="D4" s="72"/>
      <c r="E4" s="72"/>
      <c r="F4" s="21"/>
      <c r="G4" s="22" t="s">
        <v>1</v>
      </c>
      <c r="H4" s="32">
        <v>1</v>
      </c>
      <c r="I4" s="7"/>
      <c r="J4" s="8"/>
      <c r="K4" s="65" t="str">
        <f>"Week "&amp;(K6-($C$4-WEEKDAY($C$4,1)+2))/7+1</f>
        <v>Week 1</v>
      </c>
      <c r="L4" s="66"/>
      <c r="M4" s="66"/>
      <c r="N4" s="66"/>
      <c r="O4" s="66"/>
      <c r="P4" s="66"/>
      <c r="Q4" s="67"/>
      <c r="R4" s="65" t="str">
        <f>"Week "&amp;(R6-($C$4-WEEKDAY($C$4,1)+2))/7+1</f>
        <v>Week 2</v>
      </c>
      <c r="S4" s="66"/>
      <c r="T4" s="66"/>
      <c r="U4" s="66"/>
      <c r="V4" s="66"/>
      <c r="W4" s="66"/>
      <c r="X4" s="67"/>
      <c r="Y4" s="65" t="str">
        <f>"Week "&amp;(Y6-($C$4-WEEKDAY($C$4,1)+2))/7+1</f>
        <v>Week 3</v>
      </c>
      <c r="Z4" s="66"/>
      <c r="AA4" s="66"/>
      <c r="AB4" s="66"/>
      <c r="AC4" s="66"/>
      <c r="AD4" s="66"/>
      <c r="AE4" s="67"/>
      <c r="AF4" s="65" t="str">
        <f>"Week "&amp;(AF6-($C$4-WEEKDAY($C$4,1)+2))/7+1</f>
        <v>Week 4</v>
      </c>
      <c r="AG4" s="66"/>
      <c r="AH4" s="66"/>
      <c r="AI4" s="66"/>
      <c r="AJ4" s="66"/>
      <c r="AK4" s="66"/>
      <c r="AL4" s="67"/>
      <c r="AM4" s="65" t="str">
        <f>"Week "&amp;(AM6-($C$4-WEEKDAY($C$4,1)+2))/7+1</f>
        <v>Week 5</v>
      </c>
      <c r="AN4" s="66"/>
      <c r="AO4" s="66"/>
      <c r="AP4" s="66"/>
      <c r="AQ4" s="66"/>
      <c r="AR4" s="66"/>
      <c r="AS4" s="67"/>
      <c r="AT4" s="65" t="str">
        <f>"Week "&amp;(AT6-($C$4-WEEKDAY($C$4,1)+2))/7+1</f>
        <v>Week 6</v>
      </c>
      <c r="AU4" s="66"/>
      <c r="AV4" s="66"/>
      <c r="AW4" s="66"/>
      <c r="AX4" s="66"/>
      <c r="AY4" s="66"/>
      <c r="AZ4" s="67"/>
      <c r="BA4" s="65" t="str">
        <f>"Week "&amp;(BA6-($C$4-WEEKDAY($C$4,1)+2))/7+1</f>
        <v>Week 7</v>
      </c>
      <c r="BB4" s="66"/>
      <c r="BC4" s="66"/>
      <c r="BD4" s="66"/>
      <c r="BE4" s="66"/>
      <c r="BF4" s="66"/>
      <c r="BG4" s="67"/>
      <c r="BH4" s="65" t="str">
        <f>"Week "&amp;(BH6-($C$4-WEEKDAY($C$4,1)+2))/7+1</f>
        <v>Week 8</v>
      </c>
      <c r="BI4" s="66"/>
      <c r="BJ4" s="66"/>
      <c r="BK4" s="66"/>
      <c r="BL4" s="66"/>
      <c r="BM4" s="66"/>
      <c r="BN4" s="67"/>
    </row>
    <row r="5" spans="1:66" ht="17.25" customHeight="1" x14ac:dyDescent="0.25">
      <c r="A5" s="21"/>
      <c r="B5" s="22" t="s">
        <v>27</v>
      </c>
      <c r="C5" s="72">
        <v>46150</v>
      </c>
      <c r="D5" s="72"/>
      <c r="E5" s="72"/>
      <c r="F5" s="21"/>
      <c r="G5" s="21"/>
      <c r="H5" s="21"/>
      <c r="I5" s="21"/>
      <c r="J5" s="8"/>
      <c r="K5" s="68">
        <f>K6</f>
        <v>46097</v>
      </c>
      <c r="L5" s="69"/>
      <c r="M5" s="69"/>
      <c r="N5" s="69"/>
      <c r="O5" s="69"/>
      <c r="P5" s="69"/>
      <c r="Q5" s="70"/>
      <c r="R5" s="68">
        <f>R6</f>
        <v>46104</v>
      </c>
      <c r="S5" s="69"/>
      <c r="T5" s="69"/>
      <c r="U5" s="69"/>
      <c r="V5" s="69"/>
      <c r="W5" s="69"/>
      <c r="X5" s="70"/>
      <c r="Y5" s="68">
        <f>Y6</f>
        <v>46111</v>
      </c>
      <c r="Z5" s="69"/>
      <c r="AA5" s="69"/>
      <c r="AB5" s="69"/>
      <c r="AC5" s="69"/>
      <c r="AD5" s="69"/>
      <c r="AE5" s="70"/>
      <c r="AF5" s="68">
        <f>AF6</f>
        <v>46118</v>
      </c>
      <c r="AG5" s="69"/>
      <c r="AH5" s="69"/>
      <c r="AI5" s="69"/>
      <c r="AJ5" s="69"/>
      <c r="AK5" s="69"/>
      <c r="AL5" s="70"/>
      <c r="AM5" s="68">
        <f>AM6</f>
        <v>46125</v>
      </c>
      <c r="AN5" s="69"/>
      <c r="AO5" s="69"/>
      <c r="AP5" s="69"/>
      <c r="AQ5" s="69"/>
      <c r="AR5" s="69"/>
      <c r="AS5" s="70"/>
      <c r="AT5" s="68">
        <f>AT6</f>
        <v>46132</v>
      </c>
      <c r="AU5" s="69"/>
      <c r="AV5" s="69"/>
      <c r="AW5" s="69"/>
      <c r="AX5" s="69"/>
      <c r="AY5" s="69"/>
      <c r="AZ5" s="70"/>
      <c r="BA5" s="68">
        <f>BA6</f>
        <v>46139</v>
      </c>
      <c r="BB5" s="69"/>
      <c r="BC5" s="69"/>
      <c r="BD5" s="69"/>
      <c r="BE5" s="69"/>
      <c r="BF5" s="69"/>
      <c r="BG5" s="70"/>
      <c r="BH5" s="68">
        <f>BH6</f>
        <v>46146</v>
      </c>
      <c r="BI5" s="69"/>
      <c r="BJ5" s="69"/>
      <c r="BK5" s="69"/>
      <c r="BL5" s="69"/>
      <c r="BM5" s="69"/>
      <c r="BN5" s="70"/>
    </row>
    <row r="6" spans="1:66" x14ac:dyDescent="0.25">
      <c r="A6" s="8"/>
      <c r="B6" s="8"/>
      <c r="C6" s="8"/>
      <c r="D6" s="8"/>
      <c r="E6" s="8"/>
      <c r="F6" s="8"/>
      <c r="G6" s="8"/>
      <c r="H6" s="8"/>
      <c r="I6" s="8"/>
      <c r="J6" s="8"/>
      <c r="K6" s="16">
        <f>C4-WEEKDAY(C4,1)+2+7*(H4-1)</f>
        <v>46097</v>
      </c>
      <c r="L6" s="15">
        <f t="shared" ref="L6:AQ6" si="0">K6+1</f>
        <v>46098</v>
      </c>
      <c r="M6" s="15">
        <f t="shared" si="0"/>
        <v>46099</v>
      </c>
      <c r="N6" s="15">
        <f t="shared" si="0"/>
        <v>46100</v>
      </c>
      <c r="O6" s="15">
        <f t="shared" si="0"/>
        <v>46101</v>
      </c>
      <c r="P6" s="15">
        <f t="shared" si="0"/>
        <v>46102</v>
      </c>
      <c r="Q6" s="17">
        <f t="shared" si="0"/>
        <v>46103</v>
      </c>
      <c r="R6" s="16">
        <f t="shared" si="0"/>
        <v>46104</v>
      </c>
      <c r="S6" s="15">
        <f t="shared" si="0"/>
        <v>46105</v>
      </c>
      <c r="T6" s="15">
        <f t="shared" si="0"/>
        <v>46106</v>
      </c>
      <c r="U6" s="15">
        <f t="shared" si="0"/>
        <v>46107</v>
      </c>
      <c r="V6" s="15">
        <f t="shared" si="0"/>
        <v>46108</v>
      </c>
      <c r="W6" s="15">
        <f t="shared" si="0"/>
        <v>46109</v>
      </c>
      <c r="X6" s="17">
        <f t="shared" si="0"/>
        <v>46110</v>
      </c>
      <c r="Y6" s="16">
        <f t="shared" si="0"/>
        <v>46111</v>
      </c>
      <c r="Z6" s="15">
        <f t="shared" si="0"/>
        <v>46112</v>
      </c>
      <c r="AA6" s="15">
        <f t="shared" si="0"/>
        <v>46113</v>
      </c>
      <c r="AB6" s="15">
        <f t="shared" si="0"/>
        <v>46114</v>
      </c>
      <c r="AC6" s="15">
        <f t="shared" si="0"/>
        <v>46115</v>
      </c>
      <c r="AD6" s="15">
        <f t="shared" si="0"/>
        <v>46116</v>
      </c>
      <c r="AE6" s="17">
        <f t="shared" si="0"/>
        <v>46117</v>
      </c>
      <c r="AF6" s="16">
        <f t="shared" si="0"/>
        <v>46118</v>
      </c>
      <c r="AG6" s="15">
        <f t="shared" si="0"/>
        <v>46119</v>
      </c>
      <c r="AH6" s="15">
        <f t="shared" si="0"/>
        <v>46120</v>
      </c>
      <c r="AI6" s="15">
        <f t="shared" si="0"/>
        <v>46121</v>
      </c>
      <c r="AJ6" s="15">
        <f t="shared" si="0"/>
        <v>46122</v>
      </c>
      <c r="AK6" s="15">
        <f t="shared" si="0"/>
        <v>46123</v>
      </c>
      <c r="AL6" s="17">
        <f t="shared" si="0"/>
        <v>46124</v>
      </c>
      <c r="AM6" s="16">
        <f t="shared" si="0"/>
        <v>46125</v>
      </c>
      <c r="AN6" s="15">
        <f t="shared" si="0"/>
        <v>46126</v>
      </c>
      <c r="AO6" s="15">
        <f t="shared" si="0"/>
        <v>46127</v>
      </c>
      <c r="AP6" s="15">
        <f t="shared" si="0"/>
        <v>46128</v>
      </c>
      <c r="AQ6" s="15">
        <f t="shared" si="0"/>
        <v>46129</v>
      </c>
      <c r="AR6" s="15">
        <f t="shared" ref="AR6:BN6" si="1">AQ6+1</f>
        <v>46130</v>
      </c>
      <c r="AS6" s="17">
        <f t="shared" si="1"/>
        <v>46131</v>
      </c>
      <c r="AT6" s="16">
        <f t="shared" si="1"/>
        <v>46132</v>
      </c>
      <c r="AU6" s="15">
        <f t="shared" si="1"/>
        <v>46133</v>
      </c>
      <c r="AV6" s="15">
        <f t="shared" si="1"/>
        <v>46134</v>
      </c>
      <c r="AW6" s="15">
        <f t="shared" si="1"/>
        <v>46135</v>
      </c>
      <c r="AX6" s="15">
        <f t="shared" si="1"/>
        <v>46136</v>
      </c>
      <c r="AY6" s="15">
        <f t="shared" si="1"/>
        <v>46137</v>
      </c>
      <c r="AZ6" s="17">
        <f t="shared" si="1"/>
        <v>46138</v>
      </c>
      <c r="BA6" s="16">
        <f t="shared" si="1"/>
        <v>46139</v>
      </c>
      <c r="BB6" s="15">
        <f t="shared" si="1"/>
        <v>46140</v>
      </c>
      <c r="BC6" s="15">
        <f t="shared" si="1"/>
        <v>46141</v>
      </c>
      <c r="BD6" s="15">
        <f t="shared" si="1"/>
        <v>46142</v>
      </c>
      <c r="BE6" s="15">
        <f t="shared" si="1"/>
        <v>46143</v>
      </c>
      <c r="BF6" s="15">
        <f t="shared" si="1"/>
        <v>46144</v>
      </c>
      <c r="BG6" s="17">
        <f t="shared" si="1"/>
        <v>46145</v>
      </c>
      <c r="BH6" s="16">
        <f t="shared" si="1"/>
        <v>46146</v>
      </c>
      <c r="BI6" s="15">
        <f t="shared" si="1"/>
        <v>46147</v>
      </c>
      <c r="BJ6" s="15">
        <f t="shared" si="1"/>
        <v>46148</v>
      </c>
      <c r="BK6" s="15">
        <f t="shared" si="1"/>
        <v>46149</v>
      </c>
      <c r="BL6" s="15">
        <f t="shared" si="1"/>
        <v>46150</v>
      </c>
      <c r="BM6" s="15">
        <f t="shared" si="1"/>
        <v>46151</v>
      </c>
      <c r="BN6" s="17">
        <f t="shared" si="1"/>
        <v>46152</v>
      </c>
    </row>
    <row r="7" spans="1:66" s="7" customFormat="1" ht="32" thickBot="1" x14ac:dyDescent="0.3">
      <c r="A7" s="23" t="s">
        <v>2</v>
      </c>
      <c r="B7" s="23" t="s">
        <v>3</v>
      </c>
      <c r="C7" s="24" t="s">
        <v>4</v>
      </c>
      <c r="D7" s="25" t="s">
        <v>5</v>
      </c>
      <c r="E7" s="26" t="s">
        <v>6</v>
      </c>
      <c r="F7" s="26" t="s">
        <v>7</v>
      </c>
      <c r="G7" s="24" t="s">
        <v>8</v>
      </c>
      <c r="H7" s="24" t="s">
        <v>9</v>
      </c>
      <c r="I7" s="24" t="s">
        <v>10</v>
      </c>
      <c r="J7" s="24"/>
      <c r="K7" s="27" t="str">
        <f t="shared" ref="K7:AP7" si="2">CHOOSE(WEEKDAY(K6,1),"S","M","T","W","T","F","S")</f>
        <v>M</v>
      </c>
      <c r="L7" s="28" t="str">
        <f t="shared" si="2"/>
        <v>T</v>
      </c>
      <c r="M7" s="28" t="str">
        <f t="shared" si="2"/>
        <v>W</v>
      </c>
      <c r="N7" s="28" t="str">
        <f t="shared" si="2"/>
        <v>T</v>
      </c>
      <c r="O7" s="28" t="str">
        <f t="shared" si="2"/>
        <v>F</v>
      </c>
      <c r="P7" s="28" t="str">
        <f t="shared" si="2"/>
        <v>S</v>
      </c>
      <c r="Q7" s="29" t="str">
        <f t="shared" si="2"/>
        <v>S</v>
      </c>
      <c r="R7" s="27" t="str">
        <f t="shared" si="2"/>
        <v>M</v>
      </c>
      <c r="S7" s="28" t="str">
        <f t="shared" si="2"/>
        <v>T</v>
      </c>
      <c r="T7" s="28" t="str">
        <f t="shared" si="2"/>
        <v>W</v>
      </c>
      <c r="U7" s="28" t="str">
        <f t="shared" si="2"/>
        <v>T</v>
      </c>
      <c r="V7" s="28" t="str">
        <f t="shared" si="2"/>
        <v>F</v>
      </c>
      <c r="W7" s="28" t="str">
        <f t="shared" si="2"/>
        <v>S</v>
      </c>
      <c r="X7" s="29" t="str">
        <f t="shared" si="2"/>
        <v>S</v>
      </c>
      <c r="Y7" s="27" t="str">
        <f t="shared" si="2"/>
        <v>M</v>
      </c>
      <c r="Z7" s="28" t="str">
        <f t="shared" si="2"/>
        <v>T</v>
      </c>
      <c r="AA7" s="28" t="str">
        <f t="shared" si="2"/>
        <v>W</v>
      </c>
      <c r="AB7" s="28" t="str">
        <f t="shared" si="2"/>
        <v>T</v>
      </c>
      <c r="AC7" s="28" t="str">
        <f t="shared" si="2"/>
        <v>F</v>
      </c>
      <c r="AD7" s="28" t="str">
        <f t="shared" si="2"/>
        <v>S</v>
      </c>
      <c r="AE7" s="29" t="str">
        <f t="shared" si="2"/>
        <v>S</v>
      </c>
      <c r="AF7" s="27" t="str">
        <f t="shared" si="2"/>
        <v>M</v>
      </c>
      <c r="AG7" s="28" t="str">
        <f t="shared" si="2"/>
        <v>T</v>
      </c>
      <c r="AH7" s="28" t="str">
        <f t="shared" si="2"/>
        <v>W</v>
      </c>
      <c r="AI7" s="28" t="str">
        <f t="shared" si="2"/>
        <v>T</v>
      </c>
      <c r="AJ7" s="28" t="str">
        <f t="shared" si="2"/>
        <v>F</v>
      </c>
      <c r="AK7" s="28" t="str">
        <f t="shared" si="2"/>
        <v>S</v>
      </c>
      <c r="AL7" s="29" t="str">
        <f t="shared" si="2"/>
        <v>S</v>
      </c>
      <c r="AM7" s="27" t="str">
        <f t="shared" si="2"/>
        <v>M</v>
      </c>
      <c r="AN7" s="28" t="str">
        <f t="shared" si="2"/>
        <v>T</v>
      </c>
      <c r="AO7" s="28" t="str">
        <f t="shared" si="2"/>
        <v>W</v>
      </c>
      <c r="AP7" s="28" t="str">
        <f t="shared" si="2"/>
        <v>T</v>
      </c>
      <c r="AQ7" s="28" t="str">
        <f t="shared" ref="AQ7:BN7" si="3">CHOOSE(WEEKDAY(AQ6,1),"S","M","T","W","T","F","S")</f>
        <v>F</v>
      </c>
      <c r="AR7" s="28" t="str">
        <f t="shared" si="3"/>
        <v>S</v>
      </c>
      <c r="AS7" s="29" t="str">
        <f t="shared" si="3"/>
        <v>S</v>
      </c>
      <c r="AT7" s="27" t="str">
        <f t="shared" si="3"/>
        <v>M</v>
      </c>
      <c r="AU7" s="28" t="str">
        <f t="shared" si="3"/>
        <v>T</v>
      </c>
      <c r="AV7" s="28" t="str">
        <f t="shared" si="3"/>
        <v>W</v>
      </c>
      <c r="AW7" s="28" t="str">
        <f t="shared" si="3"/>
        <v>T</v>
      </c>
      <c r="AX7" s="28" t="str">
        <f t="shared" si="3"/>
        <v>F</v>
      </c>
      <c r="AY7" s="28" t="str">
        <f t="shared" si="3"/>
        <v>S</v>
      </c>
      <c r="AZ7" s="29" t="str">
        <f t="shared" si="3"/>
        <v>S</v>
      </c>
      <c r="BA7" s="27" t="str">
        <f t="shared" si="3"/>
        <v>M</v>
      </c>
      <c r="BB7" s="28" t="str">
        <f t="shared" si="3"/>
        <v>T</v>
      </c>
      <c r="BC7" s="28" t="str">
        <f t="shared" si="3"/>
        <v>W</v>
      </c>
      <c r="BD7" s="28" t="str">
        <f t="shared" si="3"/>
        <v>T</v>
      </c>
      <c r="BE7" s="28" t="str">
        <f t="shared" si="3"/>
        <v>F</v>
      </c>
      <c r="BF7" s="28" t="str">
        <f t="shared" si="3"/>
        <v>S</v>
      </c>
      <c r="BG7" s="29" t="str">
        <f t="shared" si="3"/>
        <v>S</v>
      </c>
      <c r="BH7" s="27" t="str">
        <f t="shared" si="3"/>
        <v>M</v>
      </c>
      <c r="BI7" s="28" t="str">
        <f t="shared" si="3"/>
        <v>T</v>
      </c>
      <c r="BJ7" s="28" t="str">
        <f t="shared" si="3"/>
        <v>W</v>
      </c>
      <c r="BK7" s="28" t="str">
        <f t="shared" si="3"/>
        <v>T</v>
      </c>
      <c r="BL7" s="28" t="str">
        <f t="shared" si="3"/>
        <v>F</v>
      </c>
      <c r="BM7" s="28" t="str">
        <f t="shared" si="3"/>
        <v>S</v>
      </c>
      <c r="BN7" s="29" t="str">
        <f t="shared" si="3"/>
        <v>S</v>
      </c>
    </row>
    <row r="8" spans="1:66" s="46" customFormat="1" ht="28" x14ac:dyDescent="0.25">
      <c r="A8" s="35" t="str">
        <f>IF(ISERROR(VALUE(SUBSTITUTE(prevWBS,".",""))),"1",IF(ISERROR(FIND("`",SUBSTITUTE(prevWBS,".","`",1))),TEXT(VALUE(prevWBS)+1,"#"),TEXT(VALUE(LEFT(prevWBS,FIND("`",SUBSTITUTE(prevWBS,".","`",1))-1))+1,"#")))</f>
        <v>1</v>
      </c>
      <c r="B8" s="36" t="s">
        <v>33</v>
      </c>
      <c r="C8" s="37"/>
      <c r="D8" s="38"/>
      <c r="E8" s="39"/>
      <c r="F8" s="40" t="str">
        <f>IF(ISBLANK(E8)," - ",IF(G8=0,E8,E8+G8-1))</f>
        <v xml:space="preserve"> - </v>
      </c>
      <c r="G8" s="41"/>
      <c r="H8" s="42"/>
      <c r="I8" s="43" t="str">
        <f t="shared" ref="I8:I25" si="4">IF(OR(F8=0,E8=0)," - ",NETWORKDAYS(E8,F8))</f>
        <v xml:space="preserve"> - </v>
      </c>
      <c r="J8" s="44"/>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row>
    <row r="9" spans="1:66" s="31" customFormat="1" ht="17.5" x14ac:dyDescent="0.25">
      <c r="A9" s="47" t="str">
        <f t="shared" ref="A9:A15"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31" t="s">
        <v>11</v>
      </c>
      <c r="C9" s="31" t="s">
        <v>12</v>
      </c>
      <c r="D9" s="48"/>
      <c r="E9" s="49">
        <v>46096</v>
      </c>
      <c r="F9" s="50">
        <f>IF(ISBLANK(E9)," - ",IF(G9=0,E9,E9+G9-1))</f>
        <v>46099</v>
      </c>
      <c r="G9" s="51">
        <v>4</v>
      </c>
      <c r="H9" s="52">
        <v>0</v>
      </c>
      <c r="I9" s="53">
        <f t="shared" si="4"/>
        <v>3</v>
      </c>
      <c r="J9" s="54"/>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row>
    <row r="10" spans="1:66" s="31" customFormat="1" ht="17.5" x14ac:dyDescent="0.25">
      <c r="A10" s="47" t="str">
        <f t="shared" si="5"/>
        <v>1.2</v>
      </c>
      <c r="B10" s="31" t="s">
        <v>14</v>
      </c>
      <c r="C10" s="31" t="s">
        <v>12</v>
      </c>
      <c r="D10" s="48"/>
      <c r="E10" s="49">
        <v>46099</v>
      </c>
      <c r="F10" s="50">
        <f t="shared" ref="F10:F29" si="6">IF(ISBLANK(E10)," - ",IF(G10=0,E10,E10+G10-1))</f>
        <v>46101</v>
      </c>
      <c r="G10" s="51">
        <v>3</v>
      </c>
      <c r="H10" s="52">
        <v>0</v>
      </c>
      <c r="I10" s="53">
        <f t="shared" si="4"/>
        <v>3</v>
      </c>
      <c r="J10" s="54"/>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row>
    <row r="11" spans="1:66" s="31" customFormat="1" ht="17.5" x14ac:dyDescent="0.25">
      <c r="A11" s="47" t="str">
        <f t="shared" si="5"/>
        <v>1.3</v>
      </c>
      <c r="B11" s="31" t="s">
        <v>15</v>
      </c>
      <c r="C11" s="31" t="s">
        <v>12</v>
      </c>
      <c r="D11" s="48"/>
      <c r="E11" s="49">
        <v>46101</v>
      </c>
      <c r="F11" s="50">
        <f>IF(ISBLANK(E11)," - ",IF(G11=0,E11,E11+G11-1))</f>
        <v>46104</v>
      </c>
      <c r="G11" s="51">
        <v>4</v>
      </c>
      <c r="H11" s="52">
        <v>0</v>
      </c>
      <c r="I11" s="53">
        <f t="shared" si="4"/>
        <v>2</v>
      </c>
      <c r="J11" s="54"/>
      <c r="K11" s="47"/>
      <c r="L11" s="47"/>
      <c r="M11" s="55"/>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row>
    <row r="12" spans="1:66" s="31" customFormat="1" ht="17.5" x14ac:dyDescent="0.25">
      <c r="A12" s="47" t="str">
        <f t="shared" si="5"/>
        <v>1.4</v>
      </c>
      <c r="B12" s="31" t="s">
        <v>35</v>
      </c>
      <c r="C12" s="31" t="s">
        <v>12</v>
      </c>
      <c r="D12" s="48"/>
      <c r="E12" s="49">
        <v>46104</v>
      </c>
      <c r="F12" s="50">
        <f t="shared" ref="F12:F14" si="7">IF(ISBLANK(E12)," - ",IF(G12=0,E12,E12+G12-1))</f>
        <v>46108</v>
      </c>
      <c r="G12" s="51">
        <v>5</v>
      </c>
      <c r="H12" s="52">
        <v>0</v>
      </c>
      <c r="I12" s="53">
        <f t="shared" si="4"/>
        <v>5</v>
      </c>
      <c r="J12" s="54"/>
      <c r="K12" s="47"/>
      <c r="L12" s="47"/>
      <c r="M12" s="55"/>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row>
    <row r="13" spans="1:66" s="31" customFormat="1" ht="23" x14ac:dyDescent="0.25">
      <c r="A13" s="47" t="str">
        <f t="shared" si="5"/>
        <v>1.5</v>
      </c>
      <c r="B13" s="31" t="s">
        <v>36</v>
      </c>
      <c r="C13" s="31" t="s">
        <v>12</v>
      </c>
      <c r="D13" s="48"/>
      <c r="E13" s="49">
        <v>46108</v>
      </c>
      <c r="F13" s="50">
        <f t="shared" si="7"/>
        <v>46111</v>
      </c>
      <c r="G13" s="51">
        <v>4</v>
      </c>
      <c r="H13" s="52">
        <v>0</v>
      </c>
      <c r="I13" s="53">
        <f t="shared" si="4"/>
        <v>2</v>
      </c>
      <c r="J13" s="54"/>
      <c r="K13" s="47"/>
      <c r="L13" s="47"/>
      <c r="M13" s="55"/>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row>
    <row r="14" spans="1:66" s="31" customFormat="1" ht="17.5" x14ac:dyDescent="0.25">
      <c r="A14" s="47" t="str">
        <f t="shared" si="5"/>
        <v>1.6</v>
      </c>
      <c r="B14" s="31" t="s">
        <v>37</v>
      </c>
      <c r="C14" s="31" t="s">
        <v>12</v>
      </c>
      <c r="D14" s="48"/>
      <c r="E14" s="49">
        <v>46111</v>
      </c>
      <c r="F14" s="50">
        <f t="shared" si="7"/>
        <v>46113</v>
      </c>
      <c r="G14" s="51">
        <v>3</v>
      </c>
      <c r="H14" s="52">
        <v>0</v>
      </c>
      <c r="I14" s="53">
        <f t="shared" si="4"/>
        <v>3</v>
      </c>
      <c r="J14" s="54"/>
      <c r="K14" s="47"/>
      <c r="L14" s="47"/>
      <c r="M14" s="55"/>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row>
    <row r="15" spans="1:66" s="31" customFormat="1" ht="17.5" x14ac:dyDescent="0.25">
      <c r="A15" s="47" t="str">
        <f t="shared" si="5"/>
        <v>1.7</v>
      </c>
      <c r="B15" s="31" t="s">
        <v>34</v>
      </c>
      <c r="C15" s="31" t="s">
        <v>12</v>
      </c>
      <c r="D15" s="48"/>
      <c r="E15" s="49">
        <v>46113</v>
      </c>
      <c r="F15" s="50">
        <v>46115</v>
      </c>
      <c r="G15" s="51">
        <v>3</v>
      </c>
      <c r="H15" s="52">
        <v>0</v>
      </c>
      <c r="I15" s="53">
        <f t="shared" si="4"/>
        <v>3</v>
      </c>
      <c r="J15" s="54"/>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row>
    <row r="16" spans="1:66" s="46" customFormat="1" ht="28" x14ac:dyDescent="0.25">
      <c r="A16" s="56" t="str">
        <f>IF(ISERROR(VALUE(SUBSTITUTE(prevWBS,".",""))),"1",IF(ISERROR(FIND("`",SUBSTITUTE(prevWBS,".","`",1))),TEXT(VALUE(prevWBS)+1,"#"),TEXT(VALUE(LEFT(prevWBS,FIND("`",SUBSTITUTE(prevWBS,".","`",1))-1))+1,"#")))</f>
        <v>2</v>
      </c>
      <c r="B16" s="57" t="s">
        <v>22</v>
      </c>
      <c r="D16" s="58"/>
      <c r="E16" s="59"/>
      <c r="F16" s="59" t="str">
        <f t="shared" si="6"/>
        <v xml:space="preserve"> - </v>
      </c>
      <c r="G16" s="60"/>
      <c r="H16" s="61"/>
      <c r="I16" s="62" t="str">
        <f t="shared" si="4"/>
        <v xml:space="preserve"> - </v>
      </c>
      <c r="J16" s="63"/>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64"/>
      <c r="BD16" s="64"/>
      <c r="BE16" s="64"/>
      <c r="BF16" s="64"/>
      <c r="BG16" s="64"/>
      <c r="BH16" s="64"/>
      <c r="BI16" s="64"/>
      <c r="BJ16" s="64"/>
      <c r="BK16" s="64"/>
      <c r="BL16" s="64"/>
      <c r="BM16" s="64"/>
      <c r="BN16" s="64"/>
    </row>
    <row r="17" spans="1:87" s="31" customFormat="1" ht="17.5" x14ac:dyDescent="0.25">
      <c r="A17" s="47" t="str">
        <f t="shared" ref="A17:A22" si="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7" s="31" t="s">
        <v>16</v>
      </c>
      <c r="C17" s="31" t="s">
        <v>12</v>
      </c>
      <c r="D17" s="48"/>
      <c r="E17" s="49">
        <v>46115</v>
      </c>
      <c r="F17" s="50">
        <v>46116</v>
      </c>
      <c r="G17" s="51">
        <v>2</v>
      </c>
      <c r="H17" s="52">
        <v>0</v>
      </c>
      <c r="I17" s="53">
        <v>2</v>
      </c>
      <c r="J17" s="54"/>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row>
    <row r="18" spans="1:87" s="31" customFormat="1" ht="17.5" x14ac:dyDescent="0.25">
      <c r="A18" s="47" t="str">
        <f t="shared" si="8"/>
        <v>2.2</v>
      </c>
      <c r="B18" s="31" t="s">
        <v>28</v>
      </c>
      <c r="C18" s="31" t="s">
        <v>12</v>
      </c>
      <c r="D18" s="48"/>
      <c r="E18" s="49">
        <v>46116</v>
      </c>
      <c r="F18" s="50">
        <f t="shared" si="6"/>
        <v>46117</v>
      </c>
      <c r="G18" s="51">
        <v>2</v>
      </c>
      <c r="H18" s="52">
        <v>0</v>
      </c>
      <c r="I18" s="53">
        <v>2</v>
      </c>
      <c r="J18" s="54"/>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row>
    <row r="19" spans="1:87" s="31" customFormat="1" ht="23" x14ac:dyDescent="0.25">
      <c r="A19" s="47" t="str">
        <f t="shared" si="8"/>
        <v>2.3</v>
      </c>
      <c r="B19" s="31" t="s">
        <v>32</v>
      </c>
      <c r="C19" s="31" t="s">
        <v>12</v>
      </c>
      <c r="D19" s="48"/>
      <c r="E19" s="49">
        <v>46117</v>
      </c>
      <c r="F19" s="50">
        <f t="shared" si="6"/>
        <v>46124</v>
      </c>
      <c r="G19" s="51">
        <v>8</v>
      </c>
      <c r="H19" s="52">
        <v>0</v>
      </c>
      <c r="I19" s="53">
        <v>8</v>
      </c>
      <c r="J19" s="54"/>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row>
    <row r="20" spans="1:87" s="31" customFormat="1" ht="23" x14ac:dyDescent="0.25">
      <c r="A20" s="47" t="str">
        <f t="shared" si="8"/>
        <v>2.4</v>
      </c>
      <c r="B20" s="31" t="s">
        <v>30</v>
      </c>
      <c r="C20" s="31" t="s">
        <v>12</v>
      </c>
      <c r="D20" s="48"/>
      <c r="E20" s="49">
        <v>46122</v>
      </c>
      <c r="F20" s="50">
        <f t="shared" si="6"/>
        <v>46124</v>
      </c>
      <c r="G20" s="51">
        <v>3</v>
      </c>
      <c r="H20" s="52">
        <v>0</v>
      </c>
      <c r="I20" s="53">
        <v>3</v>
      </c>
      <c r="J20" s="54"/>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row>
    <row r="21" spans="1:87" s="31" customFormat="1" ht="23" x14ac:dyDescent="0.25">
      <c r="A21" s="47" t="str">
        <f t="shared" si="8"/>
        <v>2.5</v>
      </c>
      <c r="B21" s="31" t="s">
        <v>29</v>
      </c>
      <c r="C21" s="31" t="s">
        <v>12</v>
      </c>
      <c r="D21" s="48"/>
      <c r="E21" s="49">
        <v>46124</v>
      </c>
      <c r="F21" s="50">
        <f t="shared" ref="F21" si="9">IF(ISBLANK(E21)," - ",IF(G21=0,E21,E21+G21-1))</f>
        <v>46126</v>
      </c>
      <c r="G21" s="51">
        <v>3</v>
      </c>
      <c r="H21" s="52">
        <v>0</v>
      </c>
      <c r="I21" s="53">
        <v>3</v>
      </c>
      <c r="J21" s="54"/>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row>
    <row r="22" spans="1:87" s="31" customFormat="1" ht="23" x14ac:dyDescent="0.25">
      <c r="A22" s="47" t="str">
        <f t="shared" si="8"/>
        <v>2.6</v>
      </c>
      <c r="B22" s="31" t="s">
        <v>13</v>
      </c>
      <c r="C22" s="31" t="s">
        <v>12</v>
      </c>
      <c r="D22" s="48"/>
      <c r="E22" s="49">
        <v>46127</v>
      </c>
      <c r="F22" s="50">
        <f t="shared" si="6"/>
        <v>46136</v>
      </c>
      <c r="G22" s="51">
        <v>10</v>
      </c>
      <c r="H22" s="52">
        <v>0</v>
      </c>
      <c r="I22" s="53">
        <v>10</v>
      </c>
      <c r="J22" s="54"/>
      <c r="K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row>
    <row r="23" spans="1:87" s="46" customFormat="1" ht="17.5" x14ac:dyDescent="0.25">
      <c r="A23" s="56" t="str">
        <f>IF(ISERROR(VALUE(SUBSTITUTE(prevWBS,".",""))),"1",IF(ISERROR(FIND("`",SUBSTITUTE(prevWBS,".","`",1))),TEXT(VALUE(prevWBS)+1,"#"),TEXT(VALUE(LEFT(prevWBS,FIND("`",SUBSTITUTE(prevWBS,".","`",1))-1))+1,"#")))</f>
        <v>3</v>
      </c>
      <c r="B23" s="57" t="s">
        <v>23</v>
      </c>
      <c r="D23" s="58"/>
      <c r="E23" s="59"/>
      <c r="F23" s="59" t="str">
        <f t="shared" si="6"/>
        <v xml:space="preserve"> - </v>
      </c>
      <c r="G23" s="60"/>
      <c r="H23" s="61"/>
      <c r="I23" s="62" t="str">
        <f t="shared" si="4"/>
        <v xml:space="preserve"> - </v>
      </c>
      <c r="J23" s="19"/>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10"/>
      <c r="BP23" s="10"/>
      <c r="BQ23" s="10"/>
      <c r="BR23" s="10"/>
      <c r="BS23" s="10"/>
      <c r="BT23" s="10"/>
      <c r="BU23" s="10"/>
      <c r="BV23" s="10"/>
      <c r="BW23" s="10"/>
      <c r="BX23" s="10"/>
      <c r="BY23" s="10"/>
      <c r="BZ23" s="10"/>
      <c r="CA23" s="10"/>
      <c r="CB23" s="10"/>
      <c r="CC23" s="10"/>
      <c r="CD23" s="10"/>
      <c r="CE23" s="10"/>
      <c r="CF23" s="10"/>
      <c r="CG23" s="10"/>
      <c r="CH23" s="10"/>
      <c r="CI23" s="10"/>
    </row>
    <row r="24" spans="1:87" s="31" customFormat="1" ht="17.5" x14ac:dyDescent="0.25">
      <c r="A24"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4" s="31" t="s">
        <v>17</v>
      </c>
      <c r="C24" s="31" t="s">
        <v>12</v>
      </c>
      <c r="D24" s="48"/>
      <c r="E24" s="49">
        <v>46130</v>
      </c>
      <c r="F24" s="50">
        <f>IF(ISBLANK(E24)," - ",IF(G24=0,E24,E24+G24-1))</f>
        <v>46132</v>
      </c>
      <c r="G24" s="51">
        <v>3</v>
      </c>
      <c r="H24" s="52">
        <v>0</v>
      </c>
      <c r="I24" s="53">
        <v>3</v>
      </c>
      <c r="J24" s="19"/>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2"/>
      <c r="BP24" s="12"/>
      <c r="BQ24" s="12"/>
      <c r="BR24" s="12"/>
      <c r="BS24" s="12"/>
      <c r="BT24" s="12"/>
      <c r="BU24" s="12"/>
      <c r="BV24" s="12"/>
      <c r="BW24" s="12"/>
      <c r="BX24" s="12"/>
      <c r="BY24" s="12"/>
      <c r="BZ24" s="12"/>
      <c r="CA24" s="12"/>
      <c r="CB24" s="12"/>
      <c r="CC24" s="12"/>
      <c r="CD24" s="12"/>
      <c r="CE24" s="12"/>
      <c r="CF24" s="12"/>
      <c r="CG24" s="12"/>
      <c r="CH24" s="12"/>
      <c r="CI24" s="12"/>
    </row>
    <row r="25" spans="1:87" s="31" customFormat="1" ht="17.5" x14ac:dyDescent="0.25">
      <c r="A25"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5" s="31" t="s">
        <v>18</v>
      </c>
      <c r="C25" s="31" t="s">
        <v>12</v>
      </c>
      <c r="D25" s="48"/>
      <c r="E25" s="49">
        <v>46132</v>
      </c>
      <c r="F25" s="50">
        <f>IF(ISBLANK(E25)," - ",IF(G25=0,E25,E25+G25-1))</f>
        <v>46136</v>
      </c>
      <c r="G25" s="51">
        <v>5</v>
      </c>
      <c r="H25" s="52">
        <v>0</v>
      </c>
      <c r="I25" s="53">
        <f t="shared" si="4"/>
        <v>5</v>
      </c>
      <c r="J25" s="18"/>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2"/>
      <c r="BP25" s="12"/>
      <c r="BQ25" s="12"/>
      <c r="BR25" s="12"/>
      <c r="BS25" s="12"/>
      <c r="BT25" s="12"/>
      <c r="BU25" s="12"/>
      <c r="BV25" s="12"/>
      <c r="BW25" s="12"/>
      <c r="BX25" s="12"/>
      <c r="BY25" s="12"/>
      <c r="BZ25" s="12"/>
      <c r="CA25" s="12"/>
      <c r="CB25" s="12"/>
      <c r="CC25" s="12"/>
      <c r="CD25" s="12"/>
      <c r="CE25" s="12"/>
      <c r="CF25" s="12"/>
      <c r="CG25" s="12"/>
      <c r="CH25" s="12"/>
      <c r="CI25" s="12"/>
    </row>
    <row r="26" spans="1:87" s="31" customFormat="1" ht="17.5" x14ac:dyDescent="0.25">
      <c r="A26"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6" s="31" t="s">
        <v>25</v>
      </c>
      <c r="C26" s="31" t="s">
        <v>12</v>
      </c>
      <c r="D26" s="48"/>
      <c r="E26" s="49">
        <v>46136</v>
      </c>
      <c r="F26" s="50">
        <f t="shared" ref="F26:F28" si="10">IF(ISBLANK(E26)," - ",IF(G26=0,E26,E26+G26-1))</f>
        <v>46138</v>
      </c>
      <c r="G26" s="51">
        <v>3</v>
      </c>
      <c r="H26" s="52">
        <v>0</v>
      </c>
      <c r="I26" s="53">
        <v>3</v>
      </c>
      <c r="J26" s="18"/>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2"/>
      <c r="BP26" s="12"/>
      <c r="BQ26" s="12"/>
      <c r="BR26" s="12"/>
      <c r="BS26" s="12"/>
      <c r="BT26" s="12"/>
      <c r="BU26" s="12"/>
      <c r="BV26" s="12"/>
      <c r="BW26" s="12"/>
      <c r="BX26" s="12"/>
      <c r="BY26" s="12"/>
      <c r="BZ26" s="12"/>
      <c r="CA26" s="12"/>
      <c r="CB26" s="12"/>
      <c r="CC26" s="12"/>
      <c r="CD26" s="12"/>
      <c r="CE26" s="12"/>
      <c r="CF26" s="12"/>
      <c r="CG26" s="12"/>
      <c r="CH26" s="12"/>
      <c r="CI26" s="12"/>
    </row>
    <row r="27" spans="1:87" s="31" customFormat="1" ht="23" x14ac:dyDescent="0.25">
      <c r="A27" s="47" t="str" cm="1">
        <f t="array" ref="A27">IF(ISERROR(VALUE(SUBSTITUTE(prevWBS,".",""))),"0.1",IF(ISERROR(FIND("`",SUBSTITUTE(prevWBS,".","`",1))),prevWBS&amp;".1",LEFT(prevWBS,FIND("`",SUBSTITUTE(prevWBS,".","`",1)))&amp;IF(ISERROR(FIND("`",SUBSTITUTE(prevWBS,".","`",2))),VALUE(RIGHT(prevWBS,LEN(prevWBS)-FIND("`",SUBSTITUTE(prevWBS,".","`",1))))+1,VALUE(MID(prevWBS,FIND("`",SUBSTITUTE(prevWBS,".","`",1))+1,(FIND("`",SUBSTITUTE(prevWBS,".","`",2))-FIND("`",A23SUBSTITUTE(prevWBS,".","`",1))-1)))+1)))</f>
        <v>3.4</v>
      </c>
      <c r="B27" s="31" t="s">
        <v>24</v>
      </c>
      <c r="C27" s="31" t="s">
        <v>12</v>
      </c>
      <c r="D27" s="48"/>
      <c r="E27" s="49">
        <v>46138</v>
      </c>
      <c r="F27" s="50">
        <f t="shared" si="10"/>
        <v>46142</v>
      </c>
      <c r="G27" s="51">
        <v>5</v>
      </c>
      <c r="H27" s="52">
        <v>0</v>
      </c>
      <c r="I27" s="53">
        <v>5</v>
      </c>
      <c r="J27" s="18"/>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2"/>
      <c r="BP27" s="12"/>
      <c r="BQ27" s="12"/>
      <c r="BR27" s="12"/>
      <c r="BS27" s="12"/>
      <c r="BT27" s="12"/>
      <c r="BU27" s="12"/>
      <c r="BV27" s="12"/>
      <c r="BW27" s="12"/>
      <c r="BX27" s="12"/>
      <c r="BY27" s="12"/>
      <c r="BZ27" s="12"/>
      <c r="CA27" s="12"/>
      <c r="CB27" s="12"/>
      <c r="CC27" s="12"/>
      <c r="CD27" s="12"/>
      <c r="CE27" s="12"/>
      <c r="CF27" s="12"/>
      <c r="CG27" s="12"/>
      <c r="CH27" s="12"/>
      <c r="CI27" s="12"/>
    </row>
    <row r="28" spans="1:87" s="31" customFormat="1" ht="23" x14ac:dyDescent="0.25">
      <c r="A28" s="47" t="str" cm="1">
        <f t="array" ref="A28">IF(ISERROR(VALUE(SUBSTITUTE(prevWBS,".",""))),"0.1",IF(ISERROR(FIND("`",SUBSTITUTE(prevWBS,".","`",1))),prevWBS&amp;".1",LEFT(prevWBS,FIND("`",SUBSTITUTE(prevWBS,".","`",1)))&amp;IF(ISERROR(FIND("`",SUBSTITUTE(prevWBS,".","`",2))),VALUE(RIGHT(prevWBS,LEN(prevWBS)-FIND("`",SUBSTITUTE(prevWBS,".","`",1))))+1,VALUE(MID(prevWBS,FIND("`",SUBSTITUTE(prevWBS,".","`",1))+1,(FIND("`",SUBSTITUTE(prevWBS,".","`",2))-FIND("`",A23SUBSTITUTE(prevWBS,".","`",1))-1)))+1)))</f>
        <v>3.5</v>
      </c>
      <c r="B28" s="31" t="s">
        <v>26</v>
      </c>
      <c r="C28" s="31" t="s">
        <v>12</v>
      </c>
      <c r="D28" s="48"/>
      <c r="E28" s="49">
        <v>46142</v>
      </c>
      <c r="F28" s="50">
        <f t="shared" si="10"/>
        <v>46145</v>
      </c>
      <c r="G28" s="51">
        <v>4</v>
      </c>
      <c r="H28" s="52">
        <v>0</v>
      </c>
      <c r="I28" s="53">
        <v>4</v>
      </c>
      <c r="J28" s="18"/>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2"/>
      <c r="BP28" s="12"/>
      <c r="BQ28" s="12"/>
      <c r="BR28" s="12"/>
      <c r="BS28" s="12"/>
      <c r="BT28" s="12"/>
      <c r="BU28" s="12"/>
      <c r="BV28" s="12"/>
      <c r="BW28" s="12"/>
      <c r="BX28" s="12"/>
      <c r="BY28" s="12"/>
      <c r="BZ28" s="12"/>
      <c r="CA28" s="12"/>
      <c r="CB28" s="12"/>
      <c r="CC28" s="12"/>
      <c r="CD28" s="12"/>
      <c r="CE28" s="12"/>
      <c r="CF28" s="12"/>
      <c r="CG28" s="12"/>
      <c r="CH28" s="12"/>
      <c r="CI28" s="12"/>
    </row>
    <row r="29" spans="1:87" s="31" customFormat="1" ht="17.5" x14ac:dyDescent="0.25">
      <c r="A29"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3.6</v>
      </c>
      <c r="B29" s="31" t="s">
        <v>19</v>
      </c>
      <c r="C29" s="31" t="s">
        <v>12</v>
      </c>
      <c r="D29" s="48"/>
      <c r="E29" s="49">
        <v>46144</v>
      </c>
      <c r="F29" s="50">
        <f t="shared" si="6"/>
        <v>46147</v>
      </c>
      <c r="G29" s="51">
        <v>4</v>
      </c>
      <c r="H29" s="52">
        <v>0</v>
      </c>
      <c r="I29" s="53">
        <v>4</v>
      </c>
      <c r="J29" s="18"/>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2"/>
      <c r="BP29" s="12"/>
      <c r="BQ29" s="12"/>
      <c r="BR29" s="12"/>
      <c r="BS29" s="12"/>
      <c r="BT29" s="12"/>
      <c r="BU29" s="12"/>
      <c r="BV29" s="12"/>
      <c r="BW29" s="12"/>
      <c r="BX29" s="12"/>
      <c r="BY29" s="12"/>
      <c r="BZ29" s="12"/>
      <c r="CA29" s="12"/>
      <c r="CB29" s="12"/>
      <c r="CC29" s="12"/>
      <c r="CD29" s="12"/>
      <c r="CE29" s="12"/>
      <c r="CF29" s="12"/>
      <c r="CG29" s="12"/>
      <c r="CH29" s="12"/>
      <c r="CI29" s="12"/>
    </row>
    <row r="30" spans="1:87" s="31" customFormat="1" ht="23" x14ac:dyDescent="0.25">
      <c r="A30"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3.7</v>
      </c>
      <c r="B30" s="31" t="s">
        <v>31</v>
      </c>
      <c r="C30" s="31" t="s">
        <v>12</v>
      </c>
      <c r="D30" s="48"/>
      <c r="E30" s="49">
        <v>46147</v>
      </c>
      <c r="F30" s="50">
        <v>46149</v>
      </c>
      <c r="G30" s="51">
        <v>3</v>
      </c>
      <c r="H30" s="52">
        <v>0</v>
      </c>
      <c r="I30" s="53">
        <v>3</v>
      </c>
      <c r="J30" s="18"/>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2"/>
      <c r="BP30" s="12"/>
      <c r="BQ30" s="12"/>
      <c r="BR30" s="12"/>
      <c r="BS30" s="12"/>
      <c r="BT30" s="12"/>
      <c r="BU30" s="12"/>
      <c r="BV30" s="12"/>
      <c r="BW30" s="12"/>
      <c r="BX30" s="12"/>
      <c r="BY30" s="12"/>
      <c r="BZ30" s="12"/>
      <c r="CA30" s="12"/>
      <c r="CB30" s="12"/>
      <c r="CC30" s="12"/>
      <c r="CD30" s="12"/>
      <c r="CE30" s="12"/>
      <c r="CF30" s="12"/>
      <c r="CG30" s="12"/>
      <c r="CH30" s="12"/>
      <c r="CI30" s="12"/>
    </row>
    <row r="31" spans="1:87" s="31" customFormat="1" ht="17.5" x14ac:dyDescent="0.25">
      <c r="A31"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3.8</v>
      </c>
      <c r="B31" s="31" t="s">
        <v>20</v>
      </c>
      <c r="C31" s="31" t="s">
        <v>12</v>
      </c>
      <c r="D31" s="48"/>
      <c r="E31" s="49">
        <v>46149</v>
      </c>
      <c r="F31" s="50">
        <v>46150</v>
      </c>
      <c r="G31" s="51">
        <v>3</v>
      </c>
      <c r="H31" s="52">
        <v>0</v>
      </c>
      <c r="I31" s="53">
        <v>2</v>
      </c>
      <c r="J31" s="18"/>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2"/>
      <c r="BP31" s="12"/>
      <c r="BQ31" s="12"/>
      <c r="BR31" s="12"/>
      <c r="BS31" s="12"/>
      <c r="BT31" s="12"/>
      <c r="BU31" s="12"/>
      <c r="BV31" s="12"/>
      <c r="BW31" s="12"/>
      <c r="BX31" s="12"/>
      <c r="BY31" s="12"/>
      <c r="BZ31" s="12"/>
      <c r="CA31" s="12"/>
      <c r="CB31" s="12"/>
      <c r="CC31" s="12"/>
      <c r="CD31" s="12"/>
      <c r="CE31" s="12"/>
      <c r="CF31" s="12"/>
      <c r="CG31" s="12"/>
      <c r="CH31" s="12"/>
      <c r="CI31" s="12"/>
    </row>
    <row r="32" spans="1:87" s="14" customFormat="1" x14ac:dyDescent="0.25">
      <c r="A32"/>
      <c r="B32"/>
      <c r="C32"/>
      <c r="D32"/>
      <c r="E32"/>
      <c r="F32"/>
      <c r="G32"/>
      <c r="H32"/>
      <c r="I32"/>
      <c r="J32"/>
      <c r="K32"/>
      <c r="L32"/>
      <c r="M32"/>
      <c r="N32"/>
      <c r="O32"/>
      <c r="P32"/>
      <c r="Q32"/>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row>
    <row r="33" spans="1:87" s="13" customFormat="1" x14ac:dyDescent="0.2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row>
    <row r="34" spans="1:87" s="13" customFormat="1" x14ac:dyDescent="0.2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row>
    <row r="35" spans="1:87" s="13" customFormat="1" x14ac:dyDescent="0.25">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row>
    <row r="36" spans="1:87" s="13" customFormat="1" x14ac:dyDescent="0.25">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row>
    <row r="37" spans="1:87" s="13" customFormat="1" x14ac:dyDescent="0.25">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row>
    <row r="38" spans="1:87" s="4" customFormat="1" x14ac:dyDescent="0.25">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row>
  </sheetData>
  <sheetProtection formatCells="0" formatColumns="0" formatRows="0" insertRows="0" deleteRows="0"/>
  <mergeCells count="1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31">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22">
    <cfRule type="expression" dxfId="6" priority="51">
      <formula>L$6=TODAY()</formula>
    </cfRule>
    <cfRule type="expression" dxfId="5" priority="54">
      <formula>AND($E22&lt;=L$6,ROUNDDOWN(($F22-$E22+1)*$H22,0)+$E22-1&gt;=L$6)</formula>
    </cfRule>
    <cfRule type="expression" dxfId="4" priority="55">
      <formula>AND(NOT(ISBLANK($E22)),$E22&lt;=L$6,$F22&gt;=L$6)</formula>
    </cfRule>
  </conditionalFormatting>
  <conditionalFormatting sqref="K6:BN7">
    <cfRule type="expression" dxfId="3" priority="45">
      <formula>K$6=TODAY()</formula>
    </cfRule>
  </conditionalFormatting>
  <conditionalFormatting sqref="K6:BN21 M22:BN22 K23:BN31">
    <cfRule type="expression" dxfId="2" priority="8">
      <formula>K$6=TODAY()</formula>
    </cfRule>
  </conditionalFormatting>
  <conditionalFormatting sqref="K8:BN21 M22:BN22 K23:BN31">
    <cfRule type="expression" dxfId="1" priority="48">
      <formula>AND($E8&lt;=K$6,ROUNDDOWN(($F8-$E8+1)*$H8,0)+$E8-1&gt;=K$6)</formula>
    </cfRule>
    <cfRule type="expression" dxfId="0"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E16 E23 G16:H16 G23:H23 H20 H18 H19 H30 H24 H25 H29" unlockedFormula="1"/>
    <ignoredError sqref="A23 A16"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H8:H31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Aaron Cardinale</cp:lastModifiedBy>
  <cp:revision/>
  <cp:lastPrinted>2026-02-27T19:45:16Z</cp:lastPrinted>
  <dcterms:created xsi:type="dcterms:W3CDTF">2010-06-09T16:05:03Z</dcterms:created>
  <dcterms:modified xsi:type="dcterms:W3CDTF">2026-03-30T13:34:36Z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